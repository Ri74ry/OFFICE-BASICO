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ílary\"/>
    </mc:Choice>
  </mc:AlternateContent>
  <xr:revisionPtr revIDLastSave="0" documentId="13_ncr:1_{82BE3546-6FFE-4FB9-9B6E-783DAC062D94}" xr6:coauthVersionLast="36" xr6:coauthVersionMax="36" xr10:uidLastSave="{00000000-0000-0000-0000-000000000000}"/>
  <bookViews>
    <workbookView xWindow="0" yWindow="0" windowWidth="28800" windowHeight="12225" xr2:uid="{932BA9D8-0B2D-4A01-A0A3-C070FBD234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  <c r="F7" i="1" l="1"/>
  <c r="F6" i="1"/>
  <c r="F5" i="1"/>
  <c r="F4" i="1"/>
  <c r="F3" i="1"/>
  <c r="E3" i="1"/>
  <c r="E4" i="1"/>
  <c r="E5" i="1"/>
  <c r="E6" i="1"/>
  <c r="E7" i="1"/>
  <c r="E2" i="1"/>
  <c r="F2" i="1" s="1"/>
  <c r="F8" i="1" s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<sst xmlns="http://schemas.openxmlformats.org/spreadsheetml/2006/main" count="14" uniqueCount="14">
  <si>
    <t>Equipamento</t>
  </si>
  <si>
    <t>Horas de uso por dia</t>
  </si>
  <si>
    <t>Horas de uso por mês</t>
  </si>
  <si>
    <t>KWh por mês</t>
  </si>
  <si>
    <t>Potência Média(W)</t>
  </si>
  <si>
    <t>Total</t>
  </si>
  <si>
    <t>Preço</t>
  </si>
  <si>
    <t>Percentual</t>
  </si>
  <si>
    <t>1- Computador</t>
  </si>
  <si>
    <t>2- Ar Condicionado</t>
  </si>
  <si>
    <t>4- Roteador</t>
  </si>
  <si>
    <t>3- Impressora</t>
  </si>
  <si>
    <t>5- Telefone digital</t>
  </si>
  <si>
    <t>6- Câmera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</si>
</sst>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0">
    <xf numFmtId="0" fontId="0" fillId="0" borderId="0"/>
    <xf numFmtId="0" fontId="1" fillId="3" borderId="0" applyNumberFormat="0" applyBorder="0" applyAlignment="0" applyProtection="0"/>
    <xf numFmtId="9" fontId="1" fillId="0" borderId="0" applyFont="0" applyFill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2" fillId="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</cellStyleXfs>
  <cellXfs count="28">
    <xf numFmtId="0" fontId="0" fillId="0" borderId="0" xfId="0"/>
    <xf numFmtId="0" fontId="0" fillId="0" borderId="0" xfId="0" applyNumberFormat="1"/>
    <xf numFmtId="0" fontId="1" fillId="3" borderId="0" xfId="1"/>
    <xf numFmtId="0" fontId="2" fillId="2" borderId="0" xfId="5"/>
    <xf numFmtId="9" fontId="0" fillId="0" borderId="0" xfId="2" applyFont="1"/>
    <xf numFmtId="0" fontId="0" fillId="0" borderId="0" xfId="0" applyNumberFormat="1" applyFont="1"/>
    <xf numFmtId="0" fontId="2" fillId="9" borderId="0" xfId="9" applyNumberFormat="1"/>
    <xf numFmtId="0" fontId="2" fillId="7" borderId="0" xfId="7" applyNumberFormat="1"/>
    <xf numFmtId="0" fontId="2" fillId="8" borderId="0" xfId="8" applyNumberFormat="1"/>
    <xf numFmtId="0" fontId="1" fillId="3" borderId="0" xfId="1" applyNumberFormat="1"/>
    <xf numFmtId="41" fontId="2" fillId="2" borderId="0" xfId="5" applyNumberFormat="1" applyAlignment="1">
      <alignment horizontal="left"/>
    </xf>
    <xf numFmtId="0" fontId="2" fillId="6" borderId="0" xfId="6" applyNumberFormat="1"/>
    <xf numFmtId="0" fontId="4" fillId="5" borderId="2" xfId="4" applyNumberFormat="1" applyAlignment="1">
      <alignment horizontal="center"/>
    </xf>
    <xf numFmtId="0" fontId="4" fillId="5" borderId="2" xfId="4" applyAlignment="1">
      <alignment horizontal="center"/>
    </xf>
    <xf numFmtId="9" fontId="4" fillId="5" borderId="2" xfId="4" applyNumberFormat="1"/>
    <xf numFmtId="0" fontId="3" fillId="4" borderId="1" xfId="3" applyNumberFormat="1"/>
    <xf numFmtId="0" fontId="3" fillId="4" borderId="1" xfId="3"/>
    <xf numFmtId="9" fontId="2" fillId="2" borderId="0" xfId="5" applyNumberFormat="1"/>
    <xf numFmtId="3" fontId="2" fillId="6" borderId="0" xfId="6" applyNumberFormat="1"/>
    <xf numFmtId="0" fontId="2" fillId="6" borderId="0" xfId="6"/>
    <xf numFmtId="9" fontId="2" fillId="6" borderId="0" xfId="6" applyNumberFormat="1"/>
    <xf numFmtId="0" fontId="2" fillId="7" borderId="0" xfId="7"/>
    <xf numFmtId="9" fontId="2" fillId="7" borderId="0" xfId="7" applyNumberFormat="1"/>
    <xf numFmtId="0" fontId="2" fillId="8" borderId="0" xfId="8"/>
    <xf numFmtId="9" fontId="2" fillId="8" borderId="0" xfId="8" applyNumberFormat="1"/>
    <xf numFmtId="9" fontId="1" fillId="3" borderId="0" xfId="1" applyNumberFormat="1"/>
    <xf numFmtId="0" fontId="2" fillId="9" borderId="0" xfId="9"/>
    <xf numFmtId="9" fontId="2" fillId="9" borderId="0" xfId="9" applyNumberFormat="1"/>
  </cellXfs>
  <cellStyles count="10">
    <cellStyle name="60% - Ênfase1" xfId="1" builtinId="32"/>
    <cellStyle name="Célula de Verificação" xfId="4" builtinId="23"/>
    <cellStyle name="Ênfase1" xfId="5" builtinId="29"/>
    <cellStyle name="Ênfase2" xfId="6" builtinId="33"/>
    <cellStyle name="Ênfase3" xfId="7" builtinId="37"/>
    <cellStyle name="Ênfase4" xfId="8" builtinId="41"/>
    <cellStyle name="Ênfase6" xfId="9" builtinId="49"/>
    <cellStyle name="Normal" xfId="0" builtinId="0"/>
    <cellStyle name="Porcentagem" xfId="2" builtinId="5"/>
    <cellStyle name="Saída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Planilha1!$G$1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Planilha1!$A$2:$A$7</c:f>
              <c:strCache>
                <c:ptCount val="6"/>
                <c:pt idx="0">
                  <c:v> 1- Computador </c:v>
                </c:pt>
                <c:pt idx="1">
                  <c:v>2- Ar Condicionado</c:v>
                </c:pt>
                <c:pt idx="2">
                  <c:v>3- Impressora</c:v>
                </c:pt>
                <c:pt idx="3">
                  <c:v>4- Roteador</c:v>
                </c:pt>
                <c:pt idx="4">
                  <c:v>5- Telefone digital</c:v>
                </c:pt>
                <c:pt idx="5">
                  <c:v>6- Câmera</c:v>
                </c:pt>
              </c:strCache>
            </c:strRef>
          </c:cat>
          <c:val>
            <c:numRef>
              <c:f>Planilha1!$G$2:$G$7</c:f>
              <c:numCache>
                <c:formatCode>0%</c:formatCode>
                <c:ptCount val="6"/>
                <c:pt idx="0">
                  <c:v>0.22670025188916873</c:v>
                </c:pt>
                <c:pt idx="1">
                  <c:v>0.47229219143576823</c:v>
                </c:pt>
                <c:pt idx="2">
                  <c:v>0.15743073047858941</c:v>
                </c:pt>
                <c:pt idx="3">
                  <c:v>1.5113350125944582E-2</c:v>
                </c:pt>
                <c:pt idx="4">
                  <c:v>1.5113350125944582E-2</c:v>
                </c:pt>
                <c:pt idx="5">
                  <c:v>0.11335012594458437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3-41B6-9EFD-74EA586BFA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57978</xdr:colOff>
      <xdr:row>0</xdr:row>
      <xdr:rowOff>15737</xdr:rowOff>
    </xdr:from>
    <xdr:to>
      <xdr:col>14</xdr:col>
      <xdr:colOff>339586</xdr:colOff>
      <xdr:row>14</xdr:row>
      <xdr:rowOff>67089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7C8B0B-34A3-4F91-97E0-7CE470DAE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BD7D-80DC-4179-944E-5BA01012E13B}">
  <dimension ref="A1:G10"/>
  <sheetViews>
    <sheetView tabSelected="1" zoomScaleNormal="100" workbookViewId="0">
      <selection sqref="A1:G8"/>
    </sheetView>
  </sheetViews>
  <sheetFormatPr defaultRowHeight="15" x14ac:dyDescent="0.25"/>
  <cols>
    <col min="1" max="1" width="16.42578125" style="1" customWidth="1"/>
    <col min="2" max="2" width="20" customWidth="1"/>
    <col min="3" max="3" width="19" customWidth="1"/>
    <col min="4" max="4" width="22.28515625" customWidth="1"/>
    <col min="5" max="5" width="15.28515625" customWidth="1"/>
    <col min="7" max="7" width="10.85546875" style="4" customWidth="1"/>
  </cols>
  <sheetData>
    <row r="1" spans="1:7" ht="16.5" thickTop="1" thickBot="1" x14ac:dyDescent="0.3">
      <c r="A1" s="12" t="s">
        <v>0</v>
      </c>
      <c r="B1" s="13" t="s">
        <v>4</v>
      </c>
      <c r="C1" s="13" t="s">
        <v>1</v>
      </c>
      <c r="D1" s="13" t="s">
        <v>2</v>
      </c>
      <c r="E1" s="13" t="s">
        <v>3</v>
      </c>
      <c r="F1" s="13" t="s">
        <v>6</v>
      </c>
      <c r="G1" s="14" t="s">
        <v>7</v>
      </c>
    </row>
    <row r="2" spans="1:7" ht="15.75" thickTop="1" x14ac:dyDescent="0.25">
      <c r="A2" s="10" t="s">
        <v>8</v>
      </c>
      <c r="B2" s="3">
        <v>300</v>
      </c>
      <c r="C2" s="3">
        <v>24</v>
      </c>
      <c r="D2" s="3">
        <f>C2*30</f>
        <v>720</v>
      </c>
      <c r="E2" s="3">
        <f>(D2*B2)/1000</f>
        <v>216</v>
      </c>
      <c r="F2" s="3">
        <f t="shared" ref="F2:F7" si="0">E2*0.84</f>
        <v>181.44</v>
      </c>
      <c r="G2" s="17">
        <f>F2/F8</f>
        <v>0.22670025188916873</v>
      </c>
    </row>
    <row r="3" spans="1:7" x14ac:dyDescent="0.25">
      <c r="A3" s="11" t="s">
        <v>9</v>
      </c>
      <c r="B3" s="18">
        <v>1500</v>
      </c>
      <c r="C3" s="19">
        <v>10</v>
      </c>
      <c r="D3" s="19">
        <f t="shared" ref="D3:D7" si="1">C3*30</f>
        <v>300</v>
      </c>
      <c r="E3" s="19">
        <f t="shared" ref="E3:E7" si="2">(D3*B3)/1000</f>
        <v>450</v>
      </c>
      <c r="F3" s="19">
        <f t="shared" si="0"/>
        <v>378</v>
      </c>
      <c r="G3" s="20">
        <f>F3/F8</f>
        <v>0.47229219143576823</v>
      </c>
    </row>
    <row r="4" spans="1:7" x14ac:dyDescent="0.25">
      <c r="A4" s="7" t="s">
        <v>11</v>
      </c>
      <c r="B4" s="21">
        <v>500</v>
      </c>
      <c r="C4" s="21">
        <v>10</v>
      </c>
      <c r="D4" s="21">
        <f t="shared" si="1"/>
        <v>300</v>
      </c>
      <c r="E4" s="21">
        <f t="shared" si="2"/>
        <v>150</v>
      </c>
      <c r="F4" s="21">
        <f t="shared" si="0"/>
        <v>126</v>
      </c>
      <c r="G4" s="22">
        <f>F4/F8</f>
        <v>0.15743073047858941</v>
      </c>
    </row>
    <row r="5" spans="1:7" x14ac:dyDescent="0.25">
      <c r="A5" s="8" t="s">
        <v>10</v>
      </c>
      <c r="B5" s="23">
        <v>20</v>
      </c>
      <c r="C5" s="23">
        <v>24</v>
      </c>
      <c r="D5" s="23">
        <f t="shared" si="1"/>
        <v>720</v>
      </c>
      <c r="E5" s="23">
        <f t="shared" si="2"/>
        <v>14.4</v>
      </c>
      <c r="F5" s="23">
        <f t="shared" si="0"/>
        <v>12.096</v>
      </c>
      <c r="G5" s="24">
        <f>F5/F8</f>
        <v>1.5113350125944582E-2</v>
      </c>
    </row>
    <row r="6" spans="1:7" x14ac:dyDescent="0.25">
      <c r="A6" s="9" t="s">
        <v>12</v>
      </c>
      <c r="B6" s="2">
        <v>20</v>
      </c>
      <c r="C6" s="2">
        <v>24</v>
      </c>
      <c r="D6" s="2">
        <f t="shared" si="1"/>
        <v>720</v>
      </c>
      <c r="E6" s="2">
        <f t="shared" si="2"/>
        <v>14.4</v>
      </c>
      <c r="F6" s="2">
        <f t="shared" si="0"/>
        <v>12.096</v>
      </c>
      <c r="G6" s="25">
        <f>F6/F8</f>
        <v>1.5113350125944582E-2</v>
      </c>
    </row>
    <row r="7" spans="1:7" x14ac:dyDescent="0.25">
      <c r="A7" s="6" t="s">
        <v>13</v>
      </c>
      <c r="B7" s="26">
        <v>150</v>
      </c>
      <c r="C7" s="26">
        <v>24</v>
      </c>
      <c r="D7" s="26">
        <f t="shared" si="1"/>
        <v>720</v>
      </c>
      <c r="E7" s="26">
        <f t="shared" si="2"/>
        <v>108</v>
      </c>
      <c r="F7" s="26">
        <f t="shared" si="0"/>
        <v>90.72</v>
      </c>
      <c r="G7" s="27">
        <f>F7/F8</f>
        <v>0.11335012594458437</v>
      </c>
    </row>
    <row r="8" spans="1:7" x14ac:dyDescent="0.25">
      <c r="A8" s="15" t="s">
        <v>5</v>
      </c>
      <c r="B8" s="16"/>
      <c r="C8" s="16"/>
      <c r="D8" s="16"/>
      <c r="E8" s="16"/>
      <c r="F8" s="16">
        <f>SUM(F2:F7)</f>
        <v>800.35200000000009</v>
      </c>
    </row>
    <row r="10" spans="1:7" x14ac:dyDescent="0.25">
      <c r="A10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2024-07-31T12:33:54Z</dcterms:created>
  <dcterms:modified xsi:type="dcterms:W3CDTF">2024-08-07T12:56:35Z</dcterms:modified>
</cp:coreProperties>
</file>